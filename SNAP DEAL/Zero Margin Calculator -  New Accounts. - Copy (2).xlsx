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DEBE11C5-5B6E-4BD0-A85E-AC2D23E544DA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Margin Calculati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E12" i="1" l="1"/>
  <c r="B9" i="1" l="1"/>
  <c r="E9" i="1" l="1"/>
  <c r="B10" i="1" l="1"/>
  <c r="B11" i="1" s="1"/>
  <c r="E10" i="1" l="1"/>
  <c r="E11" i="1" s="1"/>
  <c r="E5" i="1" l="1"/>
  <c r="E6" i="1" s="1"/>
  <c r="E7" i="1" s="1"/>
  <c r="E13" i="1" s="1"/>
  <c r="B5" i="1" l="1"/>
  <c r="B6" i="1" s="1"/>
  <c r="B7" i="1" l="1"/>
  <c r="B13" i="1" s="1"/>
</calcChain>
</file>

<file path=xl/sharedStrings.xml><?xml version="1.0" encoding="utf-8"?>
<sst xmlns="http://schemas.openxmlformats.org/spreadsheetml/2006/main" count="34" uniqueCount="19">
  <si>
    <t>Input</t>
  </si>
  <si>
    <t>Metrics</t>
  </si>
  <si>
    <t>Selling Price</t>
  </si>
  <si>
    <t>GST</t>
  </si>
  <si>
    <t>Total Expense</t>
  </si>
  <si>
    <t>Min Fees (Logistic + Payment Collection)</t>
  </si>
  <si>
    <t>Below 500 grams</t>
  </si>
  <si>
    <t>501 grams to 1 kg</t>
  </si>
  <si>
    <t>Total</t>
  </si>
  <si>
    <t>10% RO Calculation</t>
  </si>
  <si>
    <t>Charges - 10%</t>
  </si>
  <si>
    <t>Gross Payout</t>
  </si>
  <si>
    <t>165 + GST</t>
  </si>
  <si>
    <t>221 + GST</t>
  </si>
  <si>
    <t>Incase of Customer Return,</t>
  </si>
  <si>
    <t>Net Payout(TP)</t>
  </si>
  <si>
    <t>Sale @5%</t>
  </si>
  <si>
    <t>sale @5%</t>
  </si>
  <si>
    <t>(only for sale duration)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</si>
</sst>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9" fontId="0" fillId="0" borderId="1" xfId="0" applyNumberFormat="1" applyBorder="1"/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3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3" sqref="B3"/>
    </sheetView>
  </sheetViews>
  <sheetFormatPr defaultRowHeight="15" x14ac:dyDescent="0.25"/>
  <cols>
    <col min="1" max="1" width="33.7109375" customWidth="1"/>
    <col min="2" max="2" width="14.85546875" style="1" customWidth="1"/>
    <col min="3" max="3" width="21.7109375" bestFit="1" customWidth="1"/>
    <col min="4" max="4" width="34.42578125" bestFit="1" customWidth="1"/>
    <col min="5" max="5" width="14" customWidth="1"/>
    <col min="8" max="8" width="16.42578125" customWidth="1"/>
  </cols>
  <sheetData>
    <row r="1" spans="1:6" x14ac:dyDescent="0.25">
      <c r="A1" s="19" t="s">
        <v>6</v>
      </c>
      <c r="B1" s="19"/>
      <c r="D1" s="19" t="s">
        <v>7</v>
      </c>
      <c r="E1" s="19"/>
    </row>
    <row r="2" spans="1:6" x14ac:dyDescent="0.25">
      <c r="A2" s="5" t="s">
        <v>0</v>
      </c>
      <c r="B2" s="6" t="s">
        <v>1</v>
      </c>
      <c r="D2" s="5" t="s">
        <v>0</v>
      </c>
      <c r="E2" s="6" t="s">
        <v>1</v>
      </c>
    </row>
    <row r="3" spans="1:6" x14ac:dyDescent="0.25">
      <c r="A3" s="7" t="s">
        <v>2</v>
      </c>
      <c r="B3" s="8">
        <v>999</v>
      </c>
      <c r="C3" s="2"/>
      <c r="D3" s="7" t="s">
        <v>2</v>
      </c>
      <c r="E3" s="8">
        <v>879</v>
      </c>
    </row>
    <row r="4" spans="1:6" x14ac:dyDescent="0.25">
      <c r="A4" s="9" t="s">
        <v>5</v>
      </c>
      <c r="B4" s="8">
        <v>75</v>
      </c>
      <c r="D4" s="9" t="s">
        <v>5</v>
      </c>
      <c r="E4" s="8">
        <v>115</v>
      </c>
    </row>
    <row r="5" spans="1:6" x14ac:dyDescent="0.25">
      <c r="A5" s="9" t="s">
        <v>3</v>
      </c>
      <c r="B5" s="8">
        <f>B4*18%</f>
        <v>13.5</v>
      </c>
      <c r="D5" s="9" t="s">
        <v>3</v>
      </c>
      <c r="E5" s="8">
        <f>E4*18%</f>
        <v>20.7</v>
      </c>
    </row>
    <row r="6" spans="1:6" x14ac:dyDescent="0.25">
      <c r="A6" s="9" t="s">
        <v>4</v>
      </c>
      <c r="B6" s="10">
        <f>B4+B5</f>
        <v>88.5</v>
      </c>
      <c r="D6" s="9" t="s">
        <v>4</v>
      </c>
      <c r="E6" s="10">
        <f>E4+E5</f>
        <v>135.69999999999999</v>
      </c>
    </row>
    <row r="7" spans="1:6" x14ac:dyDescent="0.25">
      <c r="A7" s="11" t="s">
        <v>11</v>
      </c>
      <c r="B7" s="12">
        <f>B3-B6</f>
        <v>910.5</v>
      </c>
      <c r="C7" s="4"/>
      <c r="D7" s="11" t="s">
        <v>11</v>
      </c>
      <c r="E7" s="12">
        <f>E3-E6</f>
        <v>743.3</v>
      </c>
    </row>
    <row r="8" spans="1:6" x14ac:dyDescent="0.25">
      <c r="A8" s="20" t="s">
        <v>9</v>
      </c>
      <c r="B8" s="20"/>
      <c r="D8" s="20" t="s">
        <v>9</v>
      </c>
      <c r="E8" s="20"/>
    </row>
    <row r="9" spans="1:6" x14ac:dyDescent="0.25">
      <c r="A9" s="7" t="s">
        <v>10</v>
      </c>
      <c r="B9" s="8">
        <f>B3*10%</f>
        <v>99.9</v>
      </c>
      <c r="D9" s="7" t="s">
        <v>10</v>
      </c>
      <c r="E9" s="18">
        <f>E3*10%</f>
        <v>87.9</v>
      </c>
    </row>
    <row r="10" spans="1:6" x14ac:dyDescent="0.25">
      <c r="A10" s="13" t="s">
        <v>3</v>
      </c>
      <c r="B10" s="8">
        <f>B9*18%</f>
        <v>17.981999999999999</v>
      </c>
      <c r="D10" s="13" t="s">
        <v>3</v>
      </c>
      <c r="E10" s="18">
        <f>E9*18%</f>
        <v>15.822000000000001</v>
      </c>
    </row>
    <row r="11" spans="1:6" x14ac:dyDescent="0.25">
      <c r="A11" s="7" t="s">
        <v>8</v>
      </c>
      <c r="B11" s="8">
        <f>B9+B10+B12</f>
        <v>117.88200000000001</v>
      </c>
      <c r="D11" s="7" t="s">
        <v>8</v>
      </c>
      <c r="E11" s="18">
        <f>E9+E10+E12</f>
        <v>103.72200000000001</v>
      </c>
    </row>
    <row r="12" spans="1:6" x14ac:dyDescent="0.25">
      <c r="A12" s="7" t="s">
        <v>16</v>
      </c>
      <c r="B12" s="8">
        <f>B3*0/100</f>
        <v>0</v>
      </c>
      <c r="C12" s="3" t="s">
        <v>18</v>
      </c>
      <c r="D12" s="7" t="s">
        <v>17</v>
      </c>
      <c r="E12" s="18">
        <f>E3*0/100</f>
        <v>0</v>
      </c>
      <c r="F12" s="3" t="s">
        <v>18</v>
      </c>
    </row>
    <row r="13" spans="1:6" x14ac:dyDescent="0.25">
      <c r="A13" s="14" t="s">
        <v>15</v>
      </c>
      <c r="B13" s="15">
        <f>B7-B11</f>
        <v>792.61799999999994</v>
      </c>
      <c r="C13" s="3"/>
      <c r="D13" s="14" t="s">
        <v>15</v>
      </c>
      <c r="E13" s="15">
        <f>E7-E11</f>
        <v>639.57799999999997</v>
      </c>
    </row>
    <row r="14" spans="1:6" x14ac:dyDescent="0.25">
      <c r="A14" s="16"/>
      <c r="B14" s="17"/>
      <c r="C14" s="3"/>
      <c r="D14" s="16"/>
      <c r="E14" s="17"/>
    </row>
    <row r="15" spans="1:6" x14ac:dyDescent="0.25">
      <c r="A15" s="16"/>
      <c r="B15" s="17"/>
      <c r="C15" s="3"/>
      <c r="D15" s="16"/>
      <c r="E15" s="17"/>
    </row>
    <row r="16" spans="1:6" x14ac:dyDescent="0.25">
      <c r="A16" t="s">
        <v>14</v>
      </c>
      <c r="B16" s="1" t="s">
        <v>12</v>
      </c>
      <c r="D16" t="s">
        <v>14</v>
      </c>
      <c r="E16" s="1" t="s">
        <v>13</v>
      </c>
    </row>
    <row r="17" spans="5:5" x14ac:dyDescent="0.25">
      <c r="E17" s="1"/>
    </row>
  </sheetData>
  <mergeCells count="4">
    <mergeCell ref="A1:B1"/>
    <mergeCell ref="D1:E1"/>
    <mergeCell ref="A8:B8"/>
    <mergeCell ref="D8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James01</dc:creator>
  <cp:lastModifiedBy>A</cp:lastModifiedBy>
  <dcterms:created xsi:type="dcterms:W3CDTF">2024-08-07T04:39:02Z</dcterms:created>
  <dcterms:modified xsi:type="dcterms:W3CDTF">2026-08-07T06:32:47Z</dcterms:modified>
</cp:coreProperties>
</file>